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cktarantino/Desktop/ThesisProject_Study2/"/>
    </mc:Choice>
  </mc:AlternateContent>
  <xr:revisionPtr revIDLastSave="0" documentId="13_ncr:1_{BCDF258E-90A8-F24D-86E8-BA4DCA4CBB9E}" xr6:coauthVersionLast="47" xr6:coauthVersionMax="47" xr10:uidLastSave="{00000000-0000-0000-0000-000000000000}"/>
  <bookViews>
    <workbookView xWindow="0" yWindow="760" windowWidth="30240" windowHeight="17340" xr2:uid="{06672470-1C49-BD45-B6D2-6C4308579E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D9" i="1"/>
  <c r="C9" i="1"/>
  <c r="E18" i="1"/>
  <c r="D18" i="1"/>
  <c r="C18" i="1"/>
  <c r="B11" i="1"/>
  <c r="B15" i="1" s="1"/>
  <c r="B10" i="1"/>
  <c r="B14" i="1" s="1"/>
  <c r="B13" i="1"/>
  <c r="D11" i="1" l="1"/>
  <c r="D15" i="1" s="1"/>
  <c r="C13" i="1"/>
  <c r="D10" i="1"/>
  <c r="D14" i="1" s="1"/>
  <c r="C11" i="1"/>
  <c r="C15" i="1" s="1"/>
  <c r="C10" i="1"/>
  <c r="C14" i="1" s="1"/>
  <c r="B16" i="1"/>
  <c r="D13" i="1" l="1"/>
  <c r="C16" i="1"/>
  <c r="D16" i="1"/>
  <c r="E11" i="1" l="1"/>
  <c r="E15" i="1" s="1"/>
  <c r="E13" i="1"/>
  <c r="E10" i="1"/>
  <c r="E14" i="1" s="1"/>
  <c r="E16" i="1" l="1"/>
</calcChain>
</file>

<file path=xl/sharedStrings.xml><?xml version="1.0" encoding="utf-8"?>
<sst xmlns="http://schemas.openxmlformats.org/spreadsheetml/2006/main" count="7" uniqueCount="5">
  <si>
    <t>Slope</t>
  </si>
  <si>
    <t>Angles (degrees)</t>
  </si>
  <si>
    <t>min</t>
  </si>
  <si>
    <t>max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</si>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</sst>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 applyAlignment="1">
      <alignment horizontal="left" inden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75E3-A5F9-9D4B-AABC-BFD7C26E85B0}">
  <dimension ref="A9:E18"/>
  <sheetViews>
    <sheetView tabSelected="1" zoomScale="144" workbookViewId="0">
      <selection activeCell="B7" sqref="B7"/>
    </sheetView>
  </sheetViews>
  <sheetFormatPr baseColWidth="10" defaultRowHeight="16" x14ac:dyDescent="0.2"/>
  <cols>
    <col min="2" max="5" width="38" bestFit="1" customWidth="1"/>
  </cols>
  <sheetData>
    <row r="9" spans="1:5" x14ac:dyDescent="0.2">
      <c r="A9" t="s">
        <v>1</v>
      </c>
      <c r="B9">
        <v>2.85</v>
      </c>
      <c r="C9">
        <f>B9+(2.85*2)</f>
        <v>8.5500000000000007</v>
      </c>
      <c r="D9">
        <f>C9+(2.85*2)</f>
        <v>14.25</v>
      </c>
      <c r="E9">
        <f>D9+(2.85*2)</f>
        <v>19.95</v>
      </c>
    </row>
    <row r="10" spans="1:5" x14ac:dyDescent="0.2">
      <c r="A10" t="s">
        <v>2</v>
      </c>
      <c r="B10">
        <f>B9-1</f>
        <v>1.85</v>
      </c>
      <c r="C10">
        <f>C9-1</f>
        <v>7.5500000000000007</v>
      </c>
      <c r="D10">
        <f>D9-1</f>
        <v>13.25</v>
      </c>
      <c r="E10">
        <f>E9-1</f>
        <v>18.95</v>
      </c>
    </row>
    <row r="11" spans="1:5" x14ac:dyDescent="0.2">
      <c r="A11" t="s">
        <v>3</v>
      </c>
      <c r="B11">
        <f>B9+1</f>
        <v>3.85</v>
      </c>
      <c r="C11">
        <f>C9+1</f>
        <v>9.5500000000000007</v>
      </c>
      <c r="D11">
        <f>D9+1</f>
        <v>15.25</v>
      </c>
      <c r="E11">
        <f>E9+1</f>
        <v>20.95</v>
      </c>
    </row>
    <row r="13" spans="1:5" x14ac:dyDescent="0.2">
      <c r="A13" t="s">
        <v>0</v>
      </c>
      <c r="B13" s="1">
        <f t="shared" ref="B13:E15" si="0">TAN(RADIANS(B9))</f>
        <v>4.9782949026111224E-2</v>
      </c>
      <c r="C13" s="1">
        <f t="shared" si="0"/>
        <v>0.15034327406196593</v>
      </c>
      <c r="D13" s="1">
        <f t="shared" si="0"/>
        <v>0.25396764647494369</v>
      </c>
      <c r="E13" s="1">
        <f t="shared" si="0"/>
        <v>0.3629822775252422</v>
      </c>
    </row>
    <row r="14" spans="1:5" x14ac:dyDescent="0.2">
      <c r="A14" t="s">
        <v>2</v>
      </c>
      <c r="B14" s="1">
        <f t="shared" si="0"/>
        <v>3.2299816700350079E-2</v>
      </c>
      <c r="C14" s="1">
        <f t="shared" si="0"/>
        <v>0.13254038980238333</v>
      </c>
      <c r="D14" s="1">
        <f t="shared" si="0"/>
        <v>0.23546874348332675</v>
      </c>
      <c r="E14" s="1">
        <f t="shared" si="0"/>
        <v>0.34335177720598992</v>
      </c>
    </row>
    <row r="15" spans="1:5" x14ac:dyDescent="0.2">
      <c r="A15" t="s">
        <v>3</v>
      </c>
      <c r="B15" s="1">
        <f t="shared" si="0"/>
        <v>6.7296492224285243E-2</v>
      </c>
      <c r="C15" s="1">
        <f t="shared" si="0"/>
        <v>0.16823984266821759</v>
      </c>
      <c r="D15" s="1">
        <f t="shared" si="0"/>
        <v>0.27263129185209495</v>
      </c>
      <c r="E15" s="1">
        <f t="shared" si="0"/>
        <v>0.38286311692082686</v>
      </c>
    </row>
    <row r="16" spans="1:5" x14ac:dyDescent="0.2">
      <c r="A16" t="s">
        <v>4</v>
      </c>
      <c r="B16" s="2">
        <f>B15-B14</f>
        <v>3.4996675523935164E-2</v>
      </c>
      <c r="C16" s="2">
        <f>C15-C14</f>
        <v>3.5699452865834258E-2</v>
      </c>
      <c r="D16" s="2">
        <f>D15-D14</f>
        <v>3.71625483687682E-2</v>
      </c>
      <c r="E16" s="2">
        <f>E15-E14</f>
        <v>3.9511339714836946E-2</v>
      </c>
    </row>
    <row r="18" spans="2:5" x14ac:dyDescent="0.2">
      <c r="B18">
        <v>4.4999999999999998E-2</v>
      </c>
      <c r="C18">
        <f>B18+0.045</f>
        <v>0.09</v>
      </c>
      <c r="D18">
        <f>C18+0.045</f>
        <v>0.13500000000000001</v>
      </c>
      <c r="E18">
        <f>D18+0.045</f>
        <v>0.18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Robert Tarantino</dc:creator>
  <cp:lastModifiedBy>Nick Robert Tarantino</cp:lastModifiedBy>
  <dcterms:created xsi:type="dcterms:W3CDTF">2026-03-03T23:22:40Z</dcterms:created>
  <dcterms:modified xsi:type="dcterms:W3CDTF">2026-03-18T16:19:13Z</dcterms:modified>
</cp:coreProperties>
</file>